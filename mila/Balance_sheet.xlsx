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<sst xmlns="http://schemas.openxmlformats.org/spreadsheetml/2006/main" count="75" uniqueCount="75">
  <si>
    <t>Total</t>
  </si>
  <si>
    <t>ASSETS</t>
  </si>
  <si>
    <t xml:space="preserve">   Current Assets</t>
  </si>
  <si>
    <t xml:space="preserve">      Bank Accounts</t>
  </si>
  <si>
    <t xml:space="preserve">         Buisness Line of credit</t>
  </si>
  <si>
    <t xml:space="preserve">         Cash</t>
  </si>
  <si>
    <t xml:space="preserve">         Cash on hand - Brandao Harris</t>
  </si>
  <si>
    <t xml:space="preserve">         Check</t>
  </si>
  <si>
    <t xml:space="preserve">         Initiate Business Checking℠ (9342) - 1</t>
  </si>
  <si>
    <t xml:space="preserve">         Money Market</t>
  </si>
  <si>
    <t xml:space="preserve">         SIGNIFY BUSINESS CASH</t>
  </si>
  <si>
    <t xml:space="preserve">      Total Bank Accounts</t>
  </si>
  <si>
    <t xml:space="preserve">      Accounts Receivable</t>
  </si>
  <si>
    <t xml:space="preserve">         Accounts Receivable (A/R)</t>
  </si>
  <si>
    <t xml:space="preserve">      Total Accounts Receivable</t>
  </si>
  <si>
    <t xml:space="preserve">      Other Current Assets</t>
  </si>
  <si>
    <t xml:space="preserve">         Payments to deposit</t>
  </si>
  <si>
    <t xml:space="preserve">         Prepaid expenses</t>
  </si>
  <si>
    <t xml:space="preserve">         Uncategorized Asset</t>
  </si>
  <si>
    <t xml:space="preserve">      Total Other Current Assets</t>
  </si>
  <si>
    <t xml:space="preserve">   Total Current Assets</t>
  </si>
  <si>
    <t xml:space="preserve">   Fixed Assets</t>
  </si>
  <si>
    <t xml:space="preserve">      Long-term office equipment</t>
  </si>
  <si>
    <t xml:space="preserve">         Computers &amp; tablets</t>
  </si>
  <si>
    <t xml:space="preserve">         Furniture</t>
  </si>
  <si>
    <t xml:space="preserve">      Total Long-term office equipment</t>
  </si>
  <si>
    <t xml:space="preserve">      Tools, machinery, and equipment</t>
  </si>
  <si>
    <t xml:space="preserve">      Vehicles</t>
  </si>
  <si>
    <t xml:space="preserve">   Total Fixed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</si>
  <si>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</si>
  <si>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</si>
  <si>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</si>
  <si>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</si>
  <si>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Accounts Payable</t>
  </si>
  <si>
    <t xml:space="preserve">            Accounts Payable (A/P)</t>
  </si>
  <si>
    <t xml:space="preserve">         Total Accounts Payable</t>
  </si>
  <si>
    <t xml:space="preserve">         Credit Cards</t>
  </si>
  <si>
    <t xml:space="preserve">            Amex 4254</t>
  </si>
  <si>
    <t xml:space="preserve">            Amex-1007</t>
  </si>
  <si>
    <t xml:space="preserve">            Amex-1008</t>
  </si>
  <si>
    <t xml:space="preserve">            MasterCard (3935) - 1</t>
  </si>
  <si>
    <t xml:space="preserve">         Total Credit Cards</t>
  </si>
  <si>
    <t xml:space="preserve">         Other Current Liabilities</t>
  </si>
  <si>
    <t xml:space="preserve">            Georgia Department of Revenue Payable</t>
  </si>
  <si>
    <t xml:space="preserve">            Lines of credit</t>
  </si>
  <si>
    <t xml:space="preserve">            Payroll Liabilities</t>
  </si>
  <si>
    <t xml:space="preserve">               Federal Taxes (941/943/944)</t>
  </si>
  <si>
    <t xml:space="preserve">               Federal Unemployment (940)</t>
  </si>
  <si>
    <t xml:space="preserve">               GA Income Tax</t>
  </si>
  <si>
    <t xml:space="preserve">               GA Unemployment Tax</t>
  </si>
  <si>
    <t xml:space="preserve">            Total Payroll Liabilities</t>
  </si>
  <si>
    <t xml:space="preserve">            Undistributed Tips</t>
  </si>
  <si>
    <t xml:space="preserve">            WF CC ending 3935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</si>
  <si>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</si>
  <si>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</si>
  <si>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</si>
  <si>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</si>
  <si>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Opening balance equity</t>
  </si>
  <si>
    <t xml:space="preserve">      Owner draws</t>
  </si>
  <si>
    <t xml:space="preserve">      Owner investments</t>
  </si>
  <si>
    <t xml:space="preserve">      Personal expenses</t>
  </si>
  <si>
    <t xml:space="preserve">         Federal taxes</t>
  </si>
  <si>
    <t xml:space="preserve">         State taxes</t>
  </si>
  <si>
    <t xml:space="preserve">      Total Personal expenses</t>
  </si>
  <si>
    <t xml:space="preserve">      Personal healthcare</t>
  </si>
  <si>
    <t xml:space="preserve">         Health insurance premiums</t>
  </si>
  <si>
    <t xml:space="preserve">      Total Personal healthcare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</si>
  <si>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</si>
  <si>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</si>
  <si>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</si>
  <si>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</si>
  <si>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Wednesday, Aug 19, 2026 03:10:40 PM GMT-7 - Accrual Basis</t>
  </si>
  <si>
    <t>Milla Maid Services LLC</t>
  </si>
  <si>
    <t>Balance Sheet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</si>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</sst>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"/>
  <sheetViews>
    <sheetView workbookViewId="0" tabSelected="true"/>
  </sheetViews>
  <sheetFormatPr defaultRowHeight="15.0"/>
  <cols>
    <col min="1" max="1" width="42.96875" customWidth="true"/>
    <col min="2" max="2" width="20.625" customWidth="true"/>
  </cols>
  <sheetData>
    <row r="1">
      <c r="A1" s="9" t="s">
        <v>72</v>
      </c>
      <c r="B1"/>
    </row>
    <row r="2">
      <c r="A2" s="9" t="s">
        <v>73</v>
      </c>
      <c r="B2"/>
    </row>
    <row r="3">
      <c r="A3" s="10" t="s">
        <v>74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6397.84</f>
        <v>0.0</v>
      </c>
    </row>
    <row r="11">
      <c r="A11" t="s" s="3">
        <v>6</v>
      </c>
      <c r="B11" t="n" s="5">
        <f>-7874.18</f>
        <v>0.0</v>
      </c>
    </row>
    <row r="12">
      <c r="A12" t="s" s="3">
        <v>7</v>
      </c>
      <c r="B12" t="n" s="5">
        <f>51768.09</f>
        <v>0.0</v>
      </c>
    </row>
    <row r="13">
      <c r="A13" t="s" s="3">
        <v>8</v>
      </c>
      <c r="B13" t="n" s="5">
        <f>-119484.67</f>
        <v>0.0</v>
      </c>
    </row>
    <row r="14">
      <c r="A14" t="s" s="3">
        <v>9</v>
      </c>
      <c r="B14" t="n" s="5">
        <f>158473.89</f>
        <v>0.0</v>
      </c>
    </row>
    <row r="15">
      <c r="A15" t="s" s="3">
        <v>10</v>
      </c>
      <c r="B15" t="n" s="5">
        <f>-7516.31</f>
        <v>0.0</v>
      </c>
    </row>
    <row r="16">
      <c r="A16" t="s" s="3">
        <v>11</v>
      </c>
      <c r="B16" t="n" s="6">
        <f>((((((B9)+(B10))+(B11))+(B12))+(B13))+(B14))+(B15)</f>
        <v>0.0</v>
      </c>
    </row>
    <row r="17">
      <c r="A17" t="s" s="3">
        <v>12</v>
      </c>
      <c r="B17" s="4"/>
    </row>
    <row r="18">
      <c r="A18" t="s" s="3">
        <v>13</v>
      </c>
      <c r="B18" t="n" s="5">
        <f>126219.63</f>
        <v>0.0</v>
      </c>
    </row>
    <row r="19">
      <c r="A19" t="s" s="3">
        <v>14</v>
      </c>
      <c r="B19" t="n" s="6">
        <f>B18</f>
        <v>0.0</v>
      </c>
    </row>
    <row r="20">
      <c r="A20" t="s" s="3">
        <v>15</v>
      </c>
      <c r="B20" s="4"/>
    </row>
    <row r="21">
      <c r="A21" t="s" s="3">
        <v>16</v>
      </c>
      <c r="B21" t="n" s="5">
        <f>319026.25</f>
        <v>0.0</v>
      </c>
    </row>
    <row r="22">
      <c r="A22" t="s" s="3">
        <v>17</v>
      </c>
      <c r="B22" t="n" s="5">
        <f>128.00</f>
        <v>0.0</v>
      </c>
    </row>
    <row r="23">
      <c r="A23" t="s" s="3">
        <v>18</v>
      </c>
      <c r="B23" t="n" s="5">
        <f>845.50</f>
        <v>0.0</v>
      </c>
    </row>
    <row r="24">
      <c r="A24" t="s" s="3">
        <v>19</v>
      </c>
      <c r="B24" t="n" s="6">
        <f>((B21)+(B22))+(B23)</f>
        <v>0.0</v>
      </c>
    </row>
    <row r="25">
      <c r="A25" t="s" s="3">
        <v>20</v>
      </c>
      <c r="B25" t="n" s="6">
        <f>((B16)+(B19))+(B24)</f>
        <v>0.0</v>
      </c>
    </row>
    <row r="26">
      <c r="A26" t="s" s="3">
        <v>21</v>
      </c>
      <c r="B26" s="4"/>
    </row>
    <row r="27">
      <c r="A27" t="s" s="3">
        <v>22</v>
      </c>
      <c r="B27" t="n" s="5">
        <f>116.64</f>
        <v>0.0</v>
      </c>
    </row>
    <row r="28">
      <c r="A28" t="s" s="3">
        <v>23</v>
      </c>
      <c r="B28" t="n" s="5">
        <f>1225.33</f>
        <v>0.0</v>
      </c>
    </row>
    <row r="29">
      <c r="A29" t="s" s="3">
        <v>24</v>
      </c>
      <c r="B29" t="n" s="5">
        <f>-1165.99</f>
        <v>0.0</v>
      </c>
    </row>
    <row r="30">
      <c r="A30" t="s" s="3">
        <v>25</v>
      </c>
      <c r="B30" t="n" s="6">
        <f>((B27)+(B28))+(B29)</f>
        <v>0.0</v>
      </c>
    </row>
    <row r="31">
      <c r="A31" t="s" s="3">
        <v>26</v>
      </c>
      <c r="B31" t="n" s="5">
        <f>623.53</f>
        <v>0.0</v>
      </c>
    </row>
    <row r="32">
      <c r="A32" t="s" s="3">
        <v>27</v>
      </c>
      <c r="B32" t="n" s="5">
        <f>400.00</f>
        <v>0.0</v>
      </c>
    </row>
    <row r="33">
      <c r="A33" t="s" s="3">
        <v>28</v>
      </c>
      <c r="B33" t="n" s="6">
        <f>((B30)+(B31))+(B32)</f>
        <v>0.0</v>
      </c>
    </row>
    <row r="34">
      <c r="A34" t="s" s="3">
        <v>29</v>
      </c>
      <c r="B34" t="n" s="7">
        <f>(B25)+(B33)</f>
        <v>0.0</v>
      </c>
    </row>
    <row r="35">
      <c r="A35" t="s" s="3">
        <v>30</v>
      </c>
      <c r="B35" s="4"/>
    </row>
    <row r="36">
      <c r="A36" t="s" s="3">
        <v>31</v>
      </c>
      <c r="B36" s="4"/>
    </row>
    <row r="37">
      <c r="A37" t="s" s="3">
        <v>32</v>
      </c>
      <c r="B37" s="4"/>
    </row>
    <row r="38">
      <c r="A38" t="s" s="3">
        <v>33</v>
      </c>
      <c r="B38" s="4"/>
    </row>
    <row r="39">
      <c r="A39" t="s" s="3">
        <v>34</v>
      </c>
      <c r="B39" t="n" s="5">
        <f>0.00</f>
        <v>0.0</v>
      </c>
    </row>
    <row r="40">
      <c r="A40" t="s" s="3">
        <v>35</v>
      </c>
      <c r="B40" t="n" s="6">
        <f>B39</f>
        <v>0.0</v>
      </c>
    </row>
    <row r="41">
      <c r="A41" t="s" s="3">
        <v>36</v>
      </c>
      <c r="B41" s="4"/>
    </row>
    <row r="42">
      <c r="A42" t="s" s="3">
        <v>37</v>
      </c>
      <c r="B42" t="n" s="5">
        <f>-2734.74</f>
        <v>0.0</v>
      </c>
    </row>
    <row r="43">
      <c r="A43" t="s" s="3">
        <v>38</v>
      </c>
      <c r="B43" t="n" s="5">
        <f>282.95</f>
        <v>0.0</v>
      </c>
    </row>
    <row r="44">
      <c r="A44" t="s" s="3">
        <v>39</v>
      </c>
      <c r="B44" t="n" s="5">
        <f>-2393.29</f>
        <v>0.0</v>
      </c>
    </row>
    <row r="45">
      <c r="A45" t="s" s="3">
        <v>40</v>
      </c>
      <c r="B45" t="n" s="5">
        <f>-5754.92</f>
        <v>0.0</v>
      </c>
    </row>
    <row r="46">
      <c r="A46" t="s" s="3">
        <v>41</v>
      </c>
      <c r="B46" t="n" s="6">
        <f>(((B42)+(B43))+(B44))+(B45)</f>
        <v>0.0</v>
      </c>
    </row>
    <row r="47">
      <c r="A47" t="s" s="3">
        <v>42</v>
      </c>
      <c r="B47" s="4"/>
    </row>
    <row r="48">
      <c r="A48" t="s" s="3">
        <v>43</v>
      </c>
      <c r="B48" t="n" s="5">
        <f>4856.14</f>
        <v>0.0</v>
      </c>
    </row>
    <row r="49">
      <c r="A49" t="s" s="3">
        <v>44</v>
      </c>
      <c r="B49" t="n" s="5">
        <f>-5886.49</f>
        <v>0.0</v>
      </c>
    </row>
    <row r="50">
      <c r="A50" t="s" s="3">
        <v>45</v>
      </c>
      <c r="B50" t="n" s="5">
        <f>0.00</f>
        <v>0.0</v>
      </c>
    </row>
    <row r="51">
      <c r="A51" t="s" s="3">
        <v>46</v>
      </c>
      <c r="B51" t="n" s="5">
        <f>-255.72</f>
        <v>0.0</v>
      </c>
    </row>
    <row r="52">
      <c r="A52" t="s" s="3">
        <v>47</v>
      </c>
      <c r="B52" t="n" s="5">
        <f>160.18</f>
        <v>0.0</v>
      </c>
    </row>
    <row r="53">
      <c r="A53" t="s" s="3">
        <v>48</v>
      </c>
      <c r="B53" t="n" s="5">
        <f>637.32</f>
        <v>0.0</v>
      </c>
    </row>
    <row r="54">
      <c r="A54" t="s" s="3">
        <v>49</v>
      </c>
      <c r="B54" t="n" s="5">
        <f>496.54</f>
        <v>0.0</v>
      </c>
    </row>
    <row r="55">
      <c r="A55" t="s" s="3">
        <v>50</v>
      </c>
      <c r="B55" t="n" s="6">
        <f>((((B50)+(B51))+(B52))+(B53))+(B54)</f>
        <v>0.0</v>
      </c>
    </row>
    <row r="56">
      <c r="A56" t="s" s="3">
        <v>51</v>
      </c>
      <c r="B56" t="n" s="5">
        <f>199.00</f>
        <v>0.0</v>
      </c>
    </row>
    <row r="57">
      <c r="A57" t="s" s="3">
        <v>52</v>
      </c>
      <c r="B57" t="n" s="5">
        <f>-95.79</f>
        <v>0.0</v>
      </c>
    </row>
    <row r="58">
      <c r="A58" t="s" s="3">
        <v>53</v>
      </c>
      <c r="B58" t="n" s="6">
        <f>((((B48)+(B49))+(B55))+(B56))+(B57)</f>
        <v>0.0</v>
      </c>
    </row>
    <row r="59">
      <c r="A59" t="s" s="3">
        <v>54</v>
      </c>
      <c r="B59" t="n" s="6">
        <f>((B40)+(B46))+(B58)</f>
        <v>0.0</v>
      </c>
    </row>
    <row r="60">
      <c r="A60" t="s" s="3">
        <v>55</v>
      </c>
      <c r="B60" t="n" s="6">
        <f>B59</f>
        <v>0.0</v>
      </c>
    </row>
    <row r="61">
      <c r="A61" t="s" s="3">
        <v>56</v>
      </c>
      <c r="B61" s="4"/>
    </row>
    <row r="62">
      <c r="A62" t="s" s="3">
        <v>57</v>
      </c>
      <c r="B62" t="n" s="5">
        <f>51012.45</f>
        <v>0.0</v>
      </c>
    </row>
    <row r="63">
      <c r="A63" t="s" s="3">
        <v>58</v>
      </c>
      <c r="B63" t="n" s="5">
        <f>-183142.09</f>
        <v>0.0</v>
      </c>
    </row>
    <row r="64">
      <c r="A64" t="s" s="3">
        <v>59</v>
      </c>
      <c r="B64" t="n" s="5">
        <f>3757.64</f>
        <v>0.0</v>
      </c>
    </row>
    <row r="65">
      <c r="A65" t="s" s="3">
        <v>60</v>
      </c>
      <c r="B65" s="4"/>
    </row>
    <row r="66">
      <c r="A66" t="s" s="3">
        <v>61</v>
      </c>
      <c r="B66" t="n" s="5">
        <f>-1000.00</f>
        <v>0.0</v>
      </c>
    </row>
    <row r="67">
      <c r="A67" t="s" s="3">
        <v>62</v>
      </c>
      <c r="B67" t="n" s="5">
        <f>-20.00</f>
        <v>0.0</v>
      </c>
    </row>
    <row r="68">
      <c r="A68" t="s" s="3">
        <v>63</v>
      </c>
      <c r="B68" t="n" s="6">
        <f>((B65)+(B66))+(B67)</f>
        <v>0.0</v>
      </c>
    </row>
    <row r="69">
      <c r="A69" t="s" s="3">
        <v>64</v>
      </c>
      <c r="B69" t="n" s="5">
        <f>-1146.92</f>
        <v>0.0</v>
      </c>
    </row>
    <row r="70">
      <c r="A70" t="s" s="3">
        <v>65</v>
      </c>
      <c r="B70" t="n" s="5">
        <f>-1650.05</f>
        <v>0.0</v>
      </c>
    </row>
    <row r="71">
      <c r="A71" t="s" s="3">
        <v>66</v>
      </c>
      <c r="B71" t="n" s="6">
        <f>(B69)+(B70)</f>
        <v>0.0</v>
      </c>
    </row>
    <row r="72">
      <c r="A72" t="s" s="3">
        <v>67</v>
      </c>
      <c r="B72" t="n" s="5">
        <f>225902.26</f>
        <v>0.0</v>
      </c>
    </row>
    <row r="73">
      <c r="A73" t="s" s="3">
        <v>68</v>
      </c>
      <c r="B73" t="n" s="5">
        <f>445959.08</f>
        <v>0.0</v>
      </c>
    </row>
    <row r="74">
      <c r="A74" t="s" s="3">
        <v>69</v>
      </c>
      <c r="B74" t="n" s="6">
        <f>((((((B62)+(B63))+(B64))+(B68))+(B71))+(B72))+(B73)</f>
        <v>0.0</v>
      </c>
    </row>
    <row r="75">
      <c r="A75" t="s" s="3">
        <v>70</v>
      </c>
      <c r="B75" t="n" s="7">
        <f>(B60)+(B74)</f>
        <v>0.0</v>
      </c>
    </row>
    <row r="76">
      <c r="A76" s="3"/>
      <c r="B76" s="4"/>
    </row>
    <row r="79">
      <c r="A79" s="8" t="s">
        <v>71</v>
      </c>
      <c r="B79"/>
    </row>
  </sheetData>
  <mergeCells count="4">
    <mergeCell ref="A79:B79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2026-08-19T22:10:40Z</dcterms:created>
  <dc:creator>Apache POI</dc:creator>
</cp:coreProperties>
</file>
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<sst xmlns="http://schemas.openxmlformats.org/spreadsheetml/2006/main" count="117" uniqueCount="116">
  <si>
    <t>Total</t>
  </si>
  <si>
    <t>Income</t>
  </si>
  <si>
    <t xml:space="preserve">   Cleaning Services</t>
  </si>
  <si>
    <t xml:space="preserve">   Housecall Pro Tips Account</t>
  </si>
  <si>
    <t xml:space="preserve">   Maintenance Services</t>
  </si>
  <si>
    <t xml:space="preserve">   Refunds to customers</t>
  </si>
  <si>
    <t xml:space="preserve">   Sales</t>
  </si>
  <si>
    <t>Total Income</t>
  </si>
  <si>
    <t>Cost of Goods Sold</t>
  </si>
  <si>
    <t xml:space="preserve">   Cost of goods sold</t>
  </si>
  <si>
    <t xml:space="preserve">      Subcontractor expenses</t>
  </si>
  <si>
    <t xml:space="preserve">      Supplies &amp; materials</t>
  </si>
  <si>
    <t xml:space="preserve">   Total Cost of goods sold</t>
  </si>
  <si>
    <t xml:space="preserve">   Housecall Pro Payment Processing Fee</t>
  </si>
  <si>
    <t>Total Cost of Goods Sold</t>
  </si>
  <si>
    <t>Gross Profit</t>
  </si>
  <si>
    <t>Expenses</t>
  </si>
  <si>
    <t xml:space="preserve">   Advertising &amp; marketing</t>
  </si>
  <si>
    <t xml:space="preserve">      Social media</t>
  </si>
  <si>
    <t xml:space="preserve">   Total Advertising &amp; marketing</t>
  </si>
  <si>
    <t xml:space="preserve">   Building &amp; property rent</t>
  </si>
  <si>
    <t xml:space="preserve">   business address rent</t>
  </si>
  <si>
    <t xml:space="preserve">   Business licences</t>
  </si>
  <si>
    <t xml:space="preserve">   Contract labor</t>
  </si>
  <si>
    <t xml:space="preserve">   Contributions to charities</t>
  </si>
  <si>
    <t xml:space="preserve">   Employee Benefits</t>
  </si>
  <si>
    <t xml:space="preserve">      Employee retirement plans</t>
  </si>
  <si>
    <t xml:space="preserve">      Health &amp; accident plans</t>
  </si>
  <si>
    <t xml:space="preserve">      Worker's compensation insurance</t>
  </si>
  <si>
    <t xml:space="preserve">   Total Employee Benefits</t>
  </si>
  <si>
    <t xml:space="preserve">   Entertainment with clients</t>
  </si>
  <si>
    <t xml:space="preserve">   General business expenses</t>
  </si>
  <si>
    <t xml:space="preserve">      Bank fees &amp; service charges</t>
  </si>
  <si>
    <t xml:space="preserve">      Continuing education</t>
  </si>
  <si>
    <t xml:space="preserve">      Memberships &amp; subscriptions</t>
  </si>
  <si>
    <t xml:space="preserve">      Uniforms</t>
  </si>
  <si>
    <t xml:space="preserve">   Total General business expenses</t>
  </si>
  <si>
    <t xml:space="preserve">   Google</t>
  </si>
  <si>
    <t xml:space="preserve">   Insurance</t>
  </si>
  <si>
    <t xml:space="preserve">      Business insurance</t>
  </si>
  <si>
    <t xml:space="preserve">   Total Insurance</t>
  </si>
  <si>
    <t xml:space="preserve">   Interest paid</t>
  </si>
  <si>
    <t xml:space="preserve">      Credit card interest</t>
  </si>
  <si>
    <t xml:space="preserve">   Total Interest paid</t>
  </si>
  <si>
    <t xml:space="preserve">   Legal &amp; accounting services</t>
  </si>
  <si>
    <t xml:space="preserve">      Accounting fees</t>
  </si>
  <si>
    <t xml:space="preserve">      Legal fees</t>
  </si>
  <si>
    <t xml:space="preserve">   Total Legal &amp; accounting services</t>
  </si>
  <si>
    <t xml:space="preserve">   Meals</t>
  </si>
  <si>
    <t xml:space="preserve">      Meals with clients</t>
  </si>
  <si>
    <t xml:space="preserve">      Travel meals</t>
  </si>
  <si>
    <t xml:space="preserve">   Total Meals</t>
  </si>
  <si>
    <t xml:space="preserve">   Miscellaneous</t>
  </si>
  <si>
    <t xml:space="preserve">   Moving and Storage</t>
  </si>
  <si>
    <t xml:space="preserve">   Office expenses</t>
  </si>
  <si>
    <t xml:space="preserve">      Office supplies</t>
  </si>
  <si>
    <t xml:space="preserve">      Shipping &amp; postage</t>
  </si>
  <si>
    <t xml:space="preserve">      Software &amp; apps</t>
  </si>
  <si>
    <t xml:space="preserve">   Total Office expenses</t>
  </si>
  <si>
    <t xml:space="preserve">   Payroll expenses</t>
  </si>
  <si>
    <t xml:space="preserve">      Payroll Wage Expenses</t>
  </si>
  <si>
    <t xml:space="preserve">      Taxes</t>
  </si>
  <si>
    <t xml:space="preserve">      Wages</t>
  </si>
  <si>
    <t xml:space="preserve">   Total Payroll expenses</t>
  </si>
  <si>
    <t xml:space="preserve">   Professional Fees</t>
  </si>
  <si>
    <t xml:space="preserve">   QuickBooks Payments Fees</t>
  </si>
  <si>
    <t xml:space="preserve">   Repairs &amp; maintenance</t>
  </si>
  <si>
    <t xml:space="preserve">   Salaries &amp; Wages</t>
  </si>
  <si>
    <t xml:space="preserve">   Supplies</t>
  </si>
  <si>
    <t xml:space="preserve">   Total Supplies</t>
  </si>
  <si>
    <t xml:space="preserve">   Taxes paid</t>
  </si>
  <si>
    <t xml:space="preserve">      Payroll taxes</t>
  </si>
  <si>
    <t xml:space="preserve">   Total Taxes paid</t>
  </si>
  <si>
    <t xml:space="preserve">   TP Cleaning Sub Contractors</t>
  </si>
  <si>
    <t xml:space="preserve">   Travel</t>
  </si>
  <si>
    <t xml:space="preserve">      Taxis or shared rides</t>
  </si>
  <si>
    <t xml:space="preserve">      Vehicle rental</t>
  </si>
  <si>
    <t xml:space="preserve">   Total Travel</t>
  </si>
  <si>
    <t xml:space="preserve">   Uncategorized Expense</t>
  </si>
  <si>
    <t xml:space="preserve">   Utilities</t>
  </si>
  <si>
    <t xml:space="preserve">      Electricity</t>
  </si>
  <si>
    <t xml:space="preserve">      Internet &amp; TV services</t>
  </si>
  <si>
    <t xml:space="preserve">      Phone service</t>
  </si>
  <si>
    <t xml:space="preserve">      Water &amp; sewer</t>
  </si>
  <si>
    <t xml:space="preserve">   Total Utilities</t>
  </si>
  <si>
    <t>Total Expenses</t>
  </si>
  <si>
    <t>Net Operating Income</t>
  </si>
  <si>
    <t>Other Income</t>
  </si>
  <si>
    <t xml:space="preserve">   Other income</t>
  </si>
  <si>
    <t xml:space="preserve">      Credit card rewards</t>
  </si>
  <si>
    <t xml:space="preserve">   Total Other income</t>
  </si>
  <si>
    <t xml:space="preserve">   WF CashBack</t>
  </si>
  <si>
    <t>Total Other Income</t>
  </si>
  <si>
    <t>Other Expenses</t>
  </si>
  <si>
    <t xml:space="preserve">   Home office</t>
  </si>
  <si>
    <t xml:space="preserve">      Home utilities</t>
  </si>
  <si>
    <t xml:space="preserve">      Rent</t>
  </si>
  <si>
    <t xml:space="preserve">      Repairs &amp; maintenance</t>
  </si>
  <si>
    <t xml:space="preserve">   Total Home office</t>
  </si>
  <si>
    <t xml:space="preserve">   Reconciliation Discrepancies</t>
  </si>
  <si>
    <t xml:space="preserve">   Vehicle expenses</t>
  </si>
  <si>
    <t xml:space="preserve">      Parking &amp; tolls</t>
  </si>
  <si>
    <t xml:space="preserve">      Vehicle gas &amp; fuel</t>
  </si>
  <si>
    <t xml:space="preserve">      Vehicle insurance</t>
  </si>
  <si>
    <t xml:space="preserve">      Vehicle loan interest paid</t>
  </si>
  <si>
    <t xml:space="preserve">      Vehicle registration</t>
  </si>
  <si>
    <t xml:space="preserve">      Vehicle repairs</t>
  </si>
  <si>
    <t xml:space="preserve">      Vehicle wash &amp; road services</t>
  </si>
  <si>
    <t xml:space="preserve">   Total Vehicle expenses</t>
  </si>
  <si>
    <t>Total Other Expenses</t>
  </si>
  <si>
    <t>Net Other Income</t>
  </si>
  <si>
    <t>Net Income</t>
  </si>
  <si>
    <t>Wednesday, Aug 19, 2026 03:10:39 PM GMT-7 - Accrual Basis</t>
  </si>
  <si>
    <t>Milla Maid Services LLC</t>
  </si>
  <si>
    <t>Profit and Loss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</si>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</sst>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1"/>
  <sheetViews>
    <sheetView workbookViewId="0" tabSelected="true"/>
  </sheetViews>
  <sheetFormatPr defaultRowHeight="15.0"/>
  <cols>
    <col min="1" max="1" width="34.375" customWidth="true"/>
    <col min="2" max="2" width="20.625" customWidth="true"/>
  </cols>
  <sheetData>
    <row r="1">
      <c r="A1" s="9" t="s">
        <v>113</v>
      </c>
      <c r="B1"/>
    </row>
    <row r="2">
      <c r="A2" s="9" t="s">
        <v>114</v>
      </c>
      <c r="B2"/>
    </row>
    <row r="3">
      <c r="A3" s="10" t="s">
        <v>115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1137610.46</f>
        <v>0.0</v>
      </c>
    </row>
    <row r="8">
      <c r="A8" t="s" s="3">
        <v>3</v>
      </c>
      <c r="B8" t="n" s="5">
        <f>20.00</f>
        <v>0.0</v>
      </c>
    </row>
    <row r="9">
      <c r="A9" t="s" s="3">
        <v>4</v>
      </c>
      <c r="B9" t="n" s="5">
        <f>33635.00</f>
        <v>0.0</v>
      </c>
    </row>
    <row r="10">
      <c r="A10" t="s" s="3">
        <v>5</v>
      </c>
      <c r="B10" t="n" s="5">
        <f>-365.00</f>
        <v>0.0</v>
      </c>
    </row>
    <row r="11">
      <c r="A11" t="s" s="3">
        <v>6</v>
      </c>
      <c r="B11" t="n" s="5">
        <f>707950.27</f>
        <v>0.0</v>
      </c>
    </row>
    <row r="12">
      <c r="A12" t="s" s="3">
        <v>7</v>
      </c>
      <c r="B12" t="n" s="6">
        <f>((((B7)+(B8))+(B9))+(B10))+(B11)</f>
        <v>0.0</v>
      </c>
    </row>
    <row r="13">
      <c r="A13" t="s" s="3">
        <v>8</v>
      </c>
      <c r="B13" s="4"/>
    </row>
    <row r="14">
      <c r="A14" t="s" s="3">
        <v>9</v>
      </c>
      <c r="B14" t="n" s="5">
        <f>-35.23</f>
        <v>0.0</v>
      </c>
    </row>
    <row r="15">
      <c r="A15" t="s" s="3">
        <v>10</v>
      </c>
      <c r="B15" t="n" s="5">
        <f>662262.23</f>
        <v>0.0</v>
      </c>
    </row>
    <row r="16">
      <c r="A16" t="s" s="3">
        <v>11</v>
      </c>
      <c r="B16" t="n" s="5">
        <f>2908.93</f>
        <v>0.0</v>
      </c>
    </row>
    <row r="17">
      <c r="A17" t="s" s="3">
        <v>12</v>
      </c>
      <c r="B17" t="n" s="6">
        <f>((B14)+(B15))+(B16)</f>
        <v>0.0</v>
      </c>
    </row>
    <row r="18">
      <c r="A18" t="s" s="3">
        <v>13</v>
      </c>
      <c r="B18" t="n" s="5">
        <f>23.21</f>
        <v>0.0</v>
      </c>
    </row>
    <row r="19">
      <c r="A19" t="s" s="3">
        <v>14</v>
      </c>
      <c r="B19" t="n" s="6">
        <f>(B17)+(B18)</f>
        <v>0.0</v>
      </c>
    </row>
    <row r="20">
      <c r="A20" t="s" s="3">
        <v>15</v>
      </c>
      <c r="B20" t="n" s="6">
        <f>(B12)-(B19)</f>
        <v>0.0</v>
      </c>
    </row>
    <row r="21">
      <c r="A21" t="s" s="3">
        <v>16</v>
      </c>
      <c r="B21" s="4"/>
    </row>
    <row r="22">
      <c r="A22" t="s" s="3">
        <v>17</v>
      </c>
      <c r="B22" t="n" s="5">
        <f>11453.49</f>
        <v>0.0</v>
      </c>
    </row>
    <row r="23">
      <c r="A23" t="s" s="3">
        <v>18</v>
      </c>
      <c r="B23" t="n" s="5">
        <f>2006.00</f>
        <v>0.0</v>
      </c>
    </row>
    <row r="24">
      <c r="A24" t="s" s="3">
        <v>19</v>
      </c>
      <c r="B24" t="n" s="6">
        <f>(B22)+(B23)</f>
        <v>0.0</v>
      </c>
    </row>
    <row r="25">
      <c r="A25" t="s" s="3">
        <v>20</v>
      </c>
      <c r="B25" t="n" s="5">
        <f>1457.00</f>
        <v>0.0</v>
      </c>
    </row>
    <row r="26">
      <c r="A26" t="s" s="3">
        <v>21</v>
      </c>
      <c r="B26" t="n" s="5">
        <f>1361.00</f>
        <v>0.0</v>
      </c>
    </row>
    <row r="27">
      <c r="A27" t="s" s="3">
        <v>22</v>
      </c>
      <c r="B27" t="n" s="5">
        <f>342.49</f>
        <v>0.0</v>
      </c>
    </row>
    <row r="28">
      <c r="A28" t="s" s="3">
        <v>23</v>
      </c>
      <c r="B28" t="n" s="5">
        <f>104256.47</f>
        <v>0.0</v>
      </c>
    </row>
    <row r="29">
      <c r="A29" t="s" s="3">
        <v>24</v>
      </c>
      <c r="B29" t="n" s="5">
        <f>1123.48</f>
        <v>0.0</v>
      </c>
    </row>
    <row r="30">
      <c r="A30" t="s" s="3">
        <v>25</v>
      </c>
      <c r="B30" t="n" s="5">
        <f>592.00</f>
        <v>0.0</v>
      </c>
    </row>
    <row r="31">
      <c r="A31" t="s" s="3">
        <v>26</v>
      </c>
      <c r="B31" t="n" s="5">
        <f>10338.31</f>
        <v>0.0</v>
      </c>
    </row>
    <row r="32">
      <c r="A32" t="s" s="3">
        <v>27</v>
      </c>
      <c r="B32" t="n" s="5">
        <f>728.12</f>
        <v>0.0</v>
      </c>
    </row>
    <row r="33">
      <c r="A33" t="s" s="3">
        <v>28</v>
      </c>
      <c r="B33" t="n" s="5">
        <f>106.89</f>
        <v>0.0</v>
      </c>
    </row>
    <row r="34">
      <c r="A34" t="s" s="3">
        <v>29</v>
      </c>
      <c r="B34" t="n" s="6">
        <f>(((B30)+(B31))+(B32))+(B33)</f>
        <v>0.0</v>
      </c>
    </row>
    <row r="35">
      <c r="A35" t="s" s="3">
        <v>30</v>
      </c>
      <c r="B35" t="n" s="5">
        <f>1031.20</f>
        <v>0.0</v>
      </c>
    </row>
    <row r="36">
      <c r="A36" t="s" s="3">
        <v>31</v>
      </c>
      <c r="B36" t="n" s="5">
        <f>17965.18</f>
        <v>0.0</v>
      </c>
    </row>
    <row r="37">
      <c r="A37" t="s" s="3">
        <v>32</v>
      </c>
      <c r="B37" t="n" s="5">
        <f>1502.22</f>
        <v>0.0</v>
      </c>
    </row>
    <row r="38">
      <c r="A38" t="s" s="3">
        <v>33</v>
      </c>
      <c r="B38" t="n" s="5">
        <f>4070.79</f>
        <v>0.0</v>
      </c>
    </row>
    <row r="39">
      <c r="A39" t="s" s="3">
        <v>34</v>
      </c>
      <c r="B39" t="n" s="5">
        <f>800.18</f>
        <v>0.0</v>
      </c>
    </row>
    <row r="40">
      <c r="A40" t="s" s="3">
        <v>35</v>
      </c>
      <c r="B40" t="n" s="5">
        <f>1174.80</f>
        <v>0.0</v>
      </c>
    </row>
    <row r="41">
      <c r="A41" t="s" s="3">
        <v>36</v>
      </c>
      <c r="B41" t="n" s="6">
        <f>((((B36)+(B37))+(B38))+(B39))+(B40)</f>
        <v>0.0</v>
      </c>
    </row>
    <row r="42">
      <c r="A42" t="s" s="3">
        <v>37</v>
      </c>
      <c r="B42" t="n" s="5">
        <f>3.98</f>
        <v>0.0</v>
      </c>
    </row>
    <row r="43">
      <c r="A43" t="s" s="3">
        <v>38</v>
      </c>
      <c r="B43" t="n" s="5">
        <f>162.56</f>
        <v>0.0</v>
      </c>
    </row>
    <row r="44">
      <c r="A44" t="s" s="3">
        <v>39</v>
      </c>
      <c r="B44" t="n" s="5">
        <f>15882.05</f>
        <v>0.0</v>
      </c>
    </row>
    <row r="45">
      <c r="A45" t="s" s="3">
        <v>40</v>
      </c>
      <c r="B45" t="n" s="6">
        <f>(B43)+(B44)</f>
        <v>0.0</v>
      </c>
    </row>
    <row r="46">
      <c r="A46" t="s" s="3">
        <v>41</v>
      </c>
      <c r="B46" t="n" s="5">
        <f>-4.73</f>
        <v>0.0</v>
      </c>
    </row>
    <row r="47">
      <c r="A47" t="s" s="3">
        <v>42</v>
      </c>
      <c r="B47" t="n" s="5">
        <f>129.86</f>
        <v>0.0</v>
      </c>
    </row>
    <row r="48">
      <c r="A48" t="s" s="3">
        <v>43</v>
      </c>
      <c r="B48" t="n" s="6">
        <f>(B46)+(B47)</f>
        <v>0.0</v>
      </c>
    </row>
    <row r="49">
      <c r="A49" t="s" s="3">
        <v>44</v>
      </c>
      <c r="B49" t="n" s="5">
        <f>80.00</f>
        <v>0.0</v>
      </c>
    </row>
    <row r="50">
      <c r="A50" t="s" s="3">
        <v>45</v>
      </c>
      <c r="B50" t="n" s="5">
        <f>153511.83</f>
        <v>0.0</v>
      </c>
    </row>
    <row r="51">
      <c r="A51" t="s" s="3">
        <v>46</v>
      </c>
      <c r="B51" t="n" s="5">
        <f>2918.00</f>
        <v>0.0</v>
      </c>
    </row>
    <row r="52">
      <c r="A52" t="s" s="3">
        <v>47</v>
      </c>
      <c r="B52" t="n" s="6">
        <f>((B49)+(B50))+(B51)</f>
        <v>0.0</v>
      </c>
    </row>
    <row r="53">
      <c r="A53" t="s" s="3">
        <v>48</v>
      </c>
      <c r="B53" t="n" s="5">
        <f>2857.55</f>
        <v>0.0</v>
      </c>
    </row>
    <row r="54">
      <c r="A54" t="s" s="3">
        <v>49</v>
      </c>
      <c r="B54" t="n" s="5">
        <f>4393.18</f>
        <v>0.0</v>
      </c>
    </row>
    <row r="55">
      <c r="A55" t="s" s="3">
        <v>50</v>
      </c>
      <c r="B55" t="n" s="5">
        <f>314.44</f>
        <v>0.0</v>
      </c>
    </row>
    <row r="56">
      <c r="A56" t="s" s="3">
        <v>51</v>
      </c>
      <c r="B56" t="n" s="6">
        <f>((B53)+(B54))+(B55)</f>
        <v>0.0</v>
      </c>
    </row>
    <row r="57">
      <c r="A57" t="s" s="3">
        <v>52</v>
      </c>
      <c r="B57" t="n" s="5">
        <f>4160.08</f>
        <v>0.0</v>
      </c>
    </row>
    <row r="58">
      <c r="A58" t="s" s="3">
        <v>53</v>
      </c>
      <c r="B58" t="n" s="5">
        <f>1077.07</f>
        <v>0.0</v>
      </c>
    </row>
    <row r="59">
      <c r="A59" t="s" s="3">
        <v>54</v>
      </c>
      <c r="B59" t="n" s="5">
        <f>2315.58</f>
        <v>0.0</v>
      </c>
    </row>
    <row r="60">
      <c r="A60" t="s" s="3">
        <v>55</v>
      </c>
      <c r="B60" t="n" s="5">
        <f>11606.52</f>
        <v>0.0</v>
      </c>
    </row>
    <row r="61">
      <c r="A61" t="s" s="3">
        <v>56</v>
      </c>
      <c r="B61" t="n" s="5">
        <f>9.79</f>
        <v>0.0</v>
      </c>
    </row>
    <row r="62">
      <c r="A62" t="s" s="3">
        <v>57</v>
      </c>
      <c r="B62" t="n" s="5">
        <f>5553.20</f>
        <v>0.0</v>
      </c>
    </row>
    <row r="63">
      <c r="A63" t="s" s="3">
        <v>58</v>
      </c>
      <c r="B63" t="n" s="6">
        <f>(((B59)+(B60))+(B61))+(B62)</f>
        <v>0.0</v>
      </c>
    </row>
    <row r="64">
      <c r="A64" t="s" s="3">
        <v>59</v>
      </c>
      <c r="B64" t="n" s="5">
        <f>415.57</f>
        <v>0.0</v>
      </c>
    </row>
    <row r="65">
      <c r="A65" t="s" s="3">
        <v>60</v>
      </c>
      <c r="B65" t="n" s="5">
        <f>217270.33</f>
        <v>0.0</v>
      </c>
    </row>
    <row r="66">
      <c r="A66" t="s" s="3">
        <v>61</v>
      </c>
      <c r="B66" t="n" s="5">
        <f>12373.95</f>
        <v>0.0</v>
      </c>
    </row>
    <row r="67">
      <c r="A67" t="s" s="3">
        <v>62</v>
      </c>
      <c r="B67" t="n" s="5">
        <f>40561.16</f>
        <v>0.0</v>
      </c>
    </row>
    <row r="68">
      <c r="A68" t="s" s="3">
        <v>63</v>
      </c>
      <c r="B68" t="n" s="6">
        <f>(((B64)+(B65))+(B66))+(B67)</f>
        <v>0.0</v>
      </c>
    </row>
    <row r="69">
      <c r="A69" t="s" s="3">
        <v>64</v>
      </c>
      <c r="B69" t="n" s="5">
        <f>2200.00</f>
        <v>0.0</v>
      </c>
    </row>
    <row r="70">
      <c r="A70" t="s" s="3">
        <v>65</v>
      </c>
      <c r="B70" t="n" s="5">
        <f>3170.39</f>
        <v>0.0</v>
      </c>
    </row>
    <row r="71">
      <c r="A71" t="s" s="3">
        <v>66</v>
      </c>
      <c r="B71" t="n" s="5">
        <f>2668.21</f>
        <v>0.0</v>
      </c>
    </row>
    <row r="72">
      <c r="A72" t="s" s="3">
        <v>67</v>
      </c>
      <c r="B72" t="n" s="5">
        <f>4472.50</f>
        <v>0.0</v>
      </c>
    </row>
    <row r="73">
      <c r="A73" t="s" s="3">
        <v>68</v>
      </c>
      <c r="B73" t="n" s="5">
        <f>1847.56</f>
        <v>0.0</v>
      </c>
    </row>
    <row r="74">
      <c r="A74" t="s" s="3">
        <v>11</v>
      </c>
      <c r="B74" t="n" s="5">
        <f>18059.62</f>
        <v>0.0</v>
      </c>
    </row>
    <row r="75">
      <c r="A75" t="s" s="3">
        <v>69</v>
      </c>
      <c r="B75" t="n" s="6">
        <f>(B73)+(B74)</f>
        <v>0.0</v>
      </c>
    </row>
    <row r="76">
      <c r="A76" t="s" s="3">
        <v>70</v>
      </c>
      <c r="B76" s="4"/>
    </row>
    <row r="77">
      <c r="A77" t="s" s="3">
        <v>71</v>
      </c>
      <c r="B77" t="n" s="5">
        <f>19255.54</f>
        <v>0.0</v>
      </c>
    </row>
    <row r="78">
      <c r="A78" t="s" s="3">
        <v>72</v>
      </c>
      <c r="B78" t="n" s="6">
        <f>(B76)+(B77)</f>
        <v>0.0</v>
      </c>
    </row>
    <row r="79">
      <c r="A79" t="s" s="3">
        <v>73</v>
      </c>
      <c r="B79" t="n" s="5">
        <f>413.00</f>
        <v>0.0</v>
      </c>
    </row>
    <row r="80">
      <c r="A80" t="s" s="3">
        <v>74</v>
      </c>
      <c r="B80" t="n" s="5">
        <f>5488.55</f>
        <v>0.0</v>
      </c>
    </row>
    <row r="81">
      <c r="A81" t="s" s="3">
        <v>75</v>
      </c>
      <c r="B81" t="n" s="5">
        <f>33.91</f>
        <v>0.0</v>
      </c>
    </row>
    <row r="82">
      <c r="A82" t="s" s="3">
        <v>76</v>
      </c>
      <c r="B82" t="n" s="5">
        <f>2000.00</f>
        <v>0.0</v>
      </c>
    </row>
    <row r="83">
      <c r="A83" t="s" s="3">
        <v>77</v>
      </c>
      <c r="B83" t="n" s="6">
        <f>((B80)+(B81))+(B82)</f>
        <v>0.0</v>
      </c>
    </row>
    <row r="84">
      <c r="A84" t="s" s="3">
        <v>78</v>
      </c>
      <c r="B84" t="n" s="5">
        <f>3762.30</f>
        <v>0.0</v>
      </c>
    </row>
    <row r="85">
      <c r="A85" t="s" s="3">
        <v>79</v>
      </c>
      <c r="B85" t="n" s="5">
        <f>763.74</f>
        <v>0.0</v>
      </c>
    </row>
    <row r="86">
      <c r="A86" t="s" s="3">
        <v>80</v>
      </c>
      <c r="B86" t="n" s="5">
        <f>95.44</f>
        <v>0.0</v>
      </c>
    </row>
    <row r="87">
      <c r="A87" t="s" s="3">
        <v>81</v>
      </c>
      <c r="B87" t="n" s="5">
        <f>333.23</f>
        <v>0.0</v>
      </c>
    </row>
    <row r="88">
      <c r="A88" t="s" s="3">
        <v>82</v>
      </c>
      <c r="B88" t="n" s="5">
        <f>6977.70</f>
        <v>0.0</v>
      </c>
    </row>
    <row r="89">
      <c r="A89" t="s" s="3">
        <v>83</v>
      </c>
      <c r="B89" t="n" s="5">
        <f>413.76</f>
        <v>0.0</v>
      </c>
    </row>
    <row r="90">
      <c r="A90" t="s" s="3">
        <v>84</v>
      </c>
      <c r="B90" t="n" s="6">
        <f>((((B85)+(B86))+(B87))+(B88))+(B89)</f>
        <v>0.0</v>
      </c>
    </row>
    <row r="91">
      <c r="A91" t="s" s="3">
        <v>85</v>
      </c>
      <c r="B91" t="n" s="6">
        <f>(((((((((((((((((((((((((((B24)+(B25))+(B26))+(B27))+(B28))+(B29))+(B34))+(B35))+(B41))+(B42))+(B45))+(B48))+(B52))+(B56))+(B57))+(B58))+(B63))+(B68))+(B69))+(B70))+(B71))+(B72))+(B75))+(B78))+(B79))+(B83))+(B84))+(B90)</f>
        <v>0.0</v>
      </c>
    </row>
    <row r="92">
      <c r="A92" t="s" s="3">
        <v>86</v>
      </c>
      <c r="B92" t="n" s="6">
        <f>(B20)-(B91)</f>
        <v>0.0</v>
      </c>
    </row>
    <row r="93">
      <c r="A93" t="s" s="3">
        <v>87</v>
      </c>
      <c r="B93" s="4"/>
    </row>
    <row r="94">
      <c r="A94" t="s" s="3">
        <v>88</v>
      </c>
      <c r="B94" t="n" s="5">
        <f>-6458.77</f>
        <v>0.0</v>
      </c>
    </row>
    <row r="95">
      <c r="A95" t="s" s="3">
        <v>89</v>
      </c>
      <c r="B95" t="n" s="5">
        <f>362.83</f>
        <v>0.0</v>
      </c>
    </row>
    <row r="96">
      <c r="A96" t="s" s="3">
        <v>90</v>
      </c>
      <c r="B96" t="n" s="6">
        <f>(B94)+(B95)</f>
        <v>0.0</v>
      </c>
    </row>
    <row r="97">
      <c r="A97" t="s" s="3">
        <v>91</v>
      </c>
      <c r="B97" t="n" s="5">
        <f>0.27</f>
        <v>0.0</v>
      </c>
    </row>
    <row r="98">
      <c r="A98" t="s" s="3">
        <v>92</v>
      </c>
      <c r="B98" t="n" s="6">
        <f>(B96)+(B97)</f>
        <v>0.0</v>
      </c>
    </row>
    <row r="99">
      <c r="A99" t="s" s="3">
        <v>93</v>
      </c>
      <c r="B99" s="4"/>
    </row>
    <row r="100">
      <c r="A100" t="s" s="3">
        <v>94</v>
      </c>
      <c r="B100" s="4"/>
    </row>
    <row r="101">
      <c r="A101" t="s" s="3">
        <v>95</v>
      </c>
      <c r="B101" t="n" s="5">
        <f>692.23</f>
        <v>0.0</v>
      </c>
    </row>
    <row r="102">
      <c r="A102" t="s" s="3">
        <v>96</v>
      </c>
      <c r="B102" t="n" s="5">
        <f>8287.40</f>
        <v>0.0</v>
      </c>
    </row>
    <row r="103">
      <c r="A103" t="s" s="3">
        <v>97</v>
      </c>
      <c r="B103" t="n" s="5">
        <f>343.75</f>
        <v>0.0</v>
      </c>
    </row>
    <row r="104">
      <c r="A104" t="s" s="3">
        <v>98</v>
      </c>
      <c r="B104" t="n" s="6">
        <f>(((B100)+(B101))+(B102))+(B103)</f>
        <v>0.0</v>
      </c>
    </row>
    <row r="105">
      <c r="A105" t="s" s="3">
        <v>99</v>
      </c>
      <c r="B105" t="n" s="5">
        <f>19646.35</f>
        <v>0.0</v>
      </c>
    </row>
    <row r="106">
      <c r="A106" t="s" s="3">
        <v>100</v>
      </c>
      <c r="B106" t="n" s="5">
        <f>5670.44</f>
        <v>0.0</v>
      </c>
    </row>
    <row r="107">
      <c r="A107" t="s" s="3">
        <v>101</v>
      </c>
      <c r="B107" t="n" s="5">
        <f>45.45</f>
        <v>0.0</v>
      </c>
    </row>
    <row r="108">
      <c r="A108" t="s" s="3">
        <v>102</v>
      </c>
      <c r="B108" t="n" s="5">
        <f>8321.34</f>
        <v>0.0</v>
      </c>
    </row>
    <row r="109">
      <c r="A109" t="s" s="3">
        <v>103</v>
      </c>
      <c r="B109" t="n" s="5">
        <f>8290.35</f>
        <v>0.0</v>
      </c>
    </row>
    <row r="110">
      <c r="A110" t="s" s="3">
        <v>104</v>
      </c>
      <c r="B110" t="n" s="5">
        <f>1010.49</f>
        <v>0.0</v>
      </c>
    </row>
    <row r="111">
      <c r="A111" t="s" s="3">
        <v>105</v>
      </c>
      <c r="B111" t="n" s="5">
        <f>68.63</f>
        <v>0.0</v>
      </c>
    </row>
    <row r="112">
      <c r="A112" t="s" s="3">
        <v>106</v>
      </c>
      <c r="B112" t="n" s="5">
        <f>1083.47</f>
        <v>0.0</v>
      </c>
    </row>
    <row r="113">
      <c r="A113" t="s" s="3">
        <v>107</v>
      </c>
      <c r="B113" t="n" s="5">
        <f>319.90</f>
        <v>0.0</v>
      </c>
    </row>
    <row r="114">
      <c r="A114" t="s" s="3">
        <v>108</v>
      </c>
      <c r="B114" t="n" s="6">
        <f>(((((((B106)+(B107))+(B108))+(B109))+(B110))+(B111))+(B112))+(B113)</f>
        <v>0.0</v>
      </c>
    </row>
    <row r="115">
      <c r="A115" t="s" s="3">
        <v>109</v>
      </c>
      <c r="B115" t="n" s="6">
        <f>((B104)+(B105))+(B114)</f>
        <v>0.0</v>
      </c>
    </row>
    <row r="116">
      <c r="A116" t="s" s="3">
        <v>110</v>
      </c>
      <c r="B116" t="n" s="6">
        <f>(B98)-(B115)</f>
        <v>0.0</v>
      </c>
    </row>
    <row r="117">
      <c r="A117" t="s" s="3">
        <v>111</v>
      </c>
      <c r="B117" t="n" s="7">
        <f>(B92)+(B116)</f>
        <v>0.0</v>
      </c>
    </row>
    <row r="118">
      <c r="A118" s="3"/>
      <c r="B118" s="4"/>
    </row>
    <row r="121">
      <c r="A121" s="8" t="s">
        <v>112</v>
      </c>
      <c r="B121"/>
    </row>
  </sheetData>
  <mergeCells count="4">
    <mergeCell ref="A121:B121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2026-08-19T22:10:39Z</dcterms:created>
  <dc:creator>Apache POI</dc:creator>
</cp:coreProperties>
</file>